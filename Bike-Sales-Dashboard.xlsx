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https://d.docs.live.net/b18e9254ab37cc53/Desktop/all projects/"/>
    </mc:Choice>
  </mc:AlternateContent>
  <xr:revisionPtr revIDLastSave="2" documentId="8_{FB766ECE-8F8D-40D8-80C5-1D01FDD96015}" xr6:coauthVersionLast="47" xr6:coauthVersionMax="47" xr10:uidLastSave="{4B28861C-B94E-48C1-AEF5-64F98C7D124A}"/>
  <bookViews>
    <workbookView xWindow="-108" yWindow="-108" windowWidth="23256" windowHeight="12456" activeTab="3" xr2:uid="{00000000-000D-0000-FFFF-FFFF00000000}"/>
  </bookViews>
  <sheets>
    <sheet name="bike_buyers" sheetId="1" r:id="rId1"/>
    <sheet name="worksheet" sheetId="3" r:id="rId2"/>
    <sheet name="Pivot" sheetId="2"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<sst xmlns="http://schemas.openxmlformats.org/spreadsheetml/2006/main" count="16267" uniqueCount="50">
  <si>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</si>
  <si>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</si>
  <si>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</si>
  <si>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</si>
  <si>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</si>
  <si>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</si>
  <si>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</si>
  <si>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</si>
  <si>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</si>
  <si>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</si>
  <si>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</si>
  <si>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</si>
  <si>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</si>
  <si>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</si>
  <si>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</si>
  <si>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</si>
  <si>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</si>
  <si>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</si>
  <si>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</si>
  <si>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</si>
  <si>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</si>
  <si>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</si>
  <si>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</si>
  <si>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</si>
  <si>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</si>
  <si>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</si>
  <si>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</si>
  <si>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</si>
  <si>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</si>
  <si>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</si>
  <si>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</si>
  <si>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</si>
  <si>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</si>
  <si>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</si>
  <si>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</si>
  <si>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</si>
  <si>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</si>
  <si>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</si>
  <si>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</si>
  <si>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</si>
  <si>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group</t>
  </si>
  <si>
    <t>Row Labels</t>
  </si>
  <si>
    <t>Grand Total</t>
  </si>
  <si>
    <t>Column Labels</t>
  </si>
  <si>
    <t>Average of Income</t>
  </si>
  <si>
    <t>Count of Purchased Bike</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</si>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</sst>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9" fontId="0" fillId="0" borderId="0" xfId="0" applyNumberFormat="1"/>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2" formatCode="0.00"/>
    </dxf>
    <dxf>
      <numFmt numFmtId="169" formatCode="_(* #,##0_);_(* \(#,##0\);_(* &quot;-&quot;??_);_(@_)"/>
    </dxf>
    <dxf>
      <numFmt numFmtId="169" formatCode="_(* #,##0_);_(* \(#,##0\);_(*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Female</c:v>
                </c:pt>
                <c:pt idx="1">
                  <c:v>Male</c:v>
                </c:pt>
              </c:strCache>
            </c:strRef>
          </c:cat>
          <c:val>
            <c:numRef>
              <c:f>Pivot!$B$4:$B$6</c:f>
              <c:numCache>
                <c:formatCode>_(* #,##0_);_(* \(#,##0\);_(* "-"??_);_(@_)</c:formatCode>
                <c:ptCount val="2"/>
                <c:pt idx="0">
                  <c:v>53440</c:v>
                </c:pt>
                <c:pt idx="1">
                  <c:v>56208.178438661707</c:v>
                </c:pt>
              </c:numCache>
            </c:numRef>
          </c:val>
          <c:extLst>
            <c:ext xmlns:c16="http://schemas.microsoft.com/office/drawing/2014/chart" uri="{C3380CC4-5D6E-409C-BE32-E72D297353CC}">
              <c16:uniqueId val="{00000000-D837-444F-8F38-83F8961B3256}"/>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Female</c:v>
                </c:pt>
                <c:pt idx="1">
                  <c:v>Male</c:v>
                </c:pt>
              </c:strCache>
            </c:strRef>
          </c:cat>
          <c:val>
            <c:numRef>
              <c:f>Pivot!$C$4:$C$6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D837-444F-8F38-83F8961B3256}"/>
            </c:ext>
          </c:extLst>
        </c:ser>
        <c:dLbls>
          <c:showLegendKey val="0"/>
          <c:showVal val="0"/>
          <c:showCatName val="0"/>
          <c:showSerName val="0"/>
          <c:showPercent val="0"/>
          <c:showBubbleSize val="0"/>
        </c:dLbls>
        <c:gapWidth val="219"/>
        <c:axId val="1025792575"/>
        <c:axId val="1025793055"/>
      </c:barChart>
      <c:catAx>
        <c:axId val="102579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943485682710717"/>
              <c:y val="0.78453851163341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93055"/>
        <c:crosses val="autoZero"/>
        <c:auto val="1"/>
        <c:lblAlgn val="ctr"/>
        <c:lblOffset val="100"/>
        <c:noMultiLvlLbl val="0"/>
      </c:catAx>
      <c:valAx>
        <c:axId val="102579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9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5978434632842"/>
          <c:y val="0.27713059305086862"/>
          <c:w val="0.65814678924296766"/>
          <c:h val="0.50472558117735278"/>
        </c:manualLayout>
      </c:layout>
      <c:barChart>
        <c:barDir val="col"/>
        <c:grouping val="clustered"/>
        <c:varyColors val="0"/>
        <c:ser>
          <c:idx val="0"/>
          <c:order val="0"/>
          <c:tx>
            <c:strRef>
              <c:f>Pivot!$C$21:$C$22</c:f>
              <c:strCache>
                <c:ptCount val="1"/>
                <c:pt idx="0">
                  <c:v>No</c:v>
                </c:pt>
              </c:strCache>
            </c:strRef>
          </c:tx>
          <c:spPr>
            <a:solidFill>
              <a:schemeClr val="accent1"/>
            </a:solidFill>
            <a:ln>
              <a:noFill/>
            </a:ln>
            <a:effectLst/>
          </c:spPr>
          <c:invertIfNegative val="0"/>
          <c:cat>
            <c:strRef>
              <c:f>Pivot!$B$23:$B$28</c:f>
              <c:strCache>
                <c:ptCount val="5"/>
                <c:pt idx="0">
                  <c:v>0-1 Miles</c:v>
                </c:pt>
                <c:pt idx="1">
                  <c:v>10+ Miles</c:v>
                </c:pt>
                <c:pt idx="2">
                  <c:v>1-2 Miles</c:v>
                </c:pt>
                <c:pt idx="3">
                  <c:v>2-5 Miles</c:v>
                </c:pt>
                <c:pt idx="4">
                  <c:v>5-10 Miles</c:v>
                </c:pt>
              </c:strCache>
            </c:strRef>
          </c:cat>
          <c:val>
            <c:numRef>
              <c:f>Pivot!$C$23:$C$28</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DB0D-4A29-9D82-DE4A1CCA6729}"/>
            </c:ext>
          </c:extLst>
        </c:ser>
        <c:ser>
          <c:idx val="1"/>
          <c:order val="1"/>
          <c:tx>
            <c:strRef>
              <c:f>Pivot!$D$21:$D$22</c:f>
              <c:strCache>
                <c:ptCount val="1"/>
                <c:pt idx="0">
                  <c:v>Yes</c:v>
                </c:pt>
              </c:strCache>
            </c:strRef>
          </c:tx>
          <c:spPr>
            <a:solidFill>
              <a:schemeClr val="accent2"/>
            </a:solidFill>
            <a:ln>
              <a:noFill/>
            </a:ln>
            <a:effectLst/>
          </c:spPr>
          <c:invertIfNegative val="0"/>
          <c:cat>
            <c:strRef>
              <c:f>Pivot!$B$23:$B$28</c:f>
              <c:strCache>
                <c:ptCount val="5"/>
                <c:pt idx="0">
                  <c:v>0-1 Miles</c:v>
                </c:pt>
                <c:pt idx="1">
                  <c:v>10+ Miles</c:v>
                </c:pt>
                <c:pt idx="2">
                  <c:v>1-2 Miles</c:v>
                </c:pt>
                <c:pt idx="3">
                  <c:v>2-5 Miles</c:v>
                </c:pt>
                <c:pt idx="4">
                  <c:v>5-10 Miles</c:v>
                </c:pt>
              </c:strCache>
            </c:strRef>
          </c:cat>
          <c:val>
            <c:numRef>
              <c:f>Pivot!$D$23:$D$28</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DB0D-4A29-9D82-DE4A1CCA6729}"/>
            </c:ext>
          </c:extLst>
        </c:ser>
        <c:dLbls>
          <c:showLegendKey val="0"/>
          <c:showVal val="0"/>
          <c:showCatName val="0"/>
          <c:showSerName val="0"/>
          <c:showPercent val="0"/>
          <c:showBubbleSize val="0"/>
        </c:dLbls>
        <c:gapWidth val="219"/>
        <c:overlap val="-27"/>
        <c:axId val="1028893055"/>
        <c:axId val="1028892095"/>
      </c:barChart>
      <c:catAx>
        <c:axId val="102889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92095"/>
        <c:crosses val="autoZero"/>
        <c:auto val="1"/>
        <c:lblAlgn val="ctr"/>
        <c:lblOffset val="100"/>
        <c:noMultiLvlLbl val="0"/>
      </c:catAx>
      <c:valAx>
        <c:axId val="10288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Pivot!$C$35:$C$36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Pivot!$B$37:$B$40</c:f>
              <c:strCache>
                <c:ptCount val="3"/>
                <c:pt idx="0">
                  <c:v>Adolescent</c:v>
                </c:pt>
                <c:pt idx="1">
                  <c:v>Middle Aged</c:v>
                </c:pt>
                <c:pt idx="2">
                  <c:v>Old</c:v>
                </c:pt>
              </c:strCache>
            </c:strRef>
          </c:cat>
          <c:val>
            <c:numRef>
              <c:f>Pivot!$C$37:$C$40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F48-4F04-89D3-D2277B54D2B3}"/>
            </c:ext>
          </c:extLst>
        </c:ser>
        <c:ser>
          <c:idx val="1"/>
          <c:order val="1"/>
          <c:tx>
            <c:strRef>
              <c:f>Pivot!$D$35:$D$36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Pivot!$B$37:$B$40</c:f>
              <c:strCache>
                <c:ptCount val="3"/>
                <c:pt idx="0">
                  <c:v>Adolescent</c:v>
                </c:pt>
                <c:pt idx="1">
                  <c:v>Middle Aged</c:v>
                </c:pt>
                <c:pt idx="2">
                  <c:v>Old</c:v>
                </c:pt>
              </c:strCache>
            </c:strRef>
          </c:cat>
          <c:val>
            <c:numRef>
              <c:f>Pivot!$D$37:$D$40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F48-4F04-89D3-D2277B54D2B3}"/>
            </c:ext>
          </c:extLst>
        </c:ser>
        <c:dLbls>
          <c:showLegendKey val="0"/>
          <c:showVal val="0"/>
          <c:showCatName val="0"/>
          <c:showSerName val="0"/>
          <c:showPercent val="0"/>
          <c:showBubbleSize val="0"/>
        </c:dLbls>
        <c:marker val="1"/>
        <c:smooth val="0"/>
        <c:axId val="647705983"/>
        <c:axId val="870799823"/>
      </c:lineChart>
      <c:catAx>
        <c:axId val="64770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99823"/>
        <c:crosses val="autoZero"/>
        <c:auto val="1"/>
        <c:lblAlgn val="ctr"/>
        <c:lblOffset val="100"/>
        <c:noMultiLvlLbl val="0"/>
      </c:catAx>
      <c:valAx>
        <c:axId val="8707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0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Pivot!$B$2:$B$3</c:f>
              <c:strCache>
                <c:ptCount val="1"/>
                <c:pt idx="0">
                  <c:v>No</c:v>
                </c:pt>
              </c:strCache>
            </c:strRef>
          </c:tx>
          <c:spPr>
            <a:solidFill>
              <a:schemeClr val="accent1"/>
            </a:solidFill>
            <a:ln>
              <a:noFill/>
            </a:ln>
            <a:effectLst/>
          </c:spPr>
          <c:invertIfNegative val="0"/>
          <c:cat>
            <c:strRef>
              <c:f>Pivot!$A$4:$A$6</c:f>
              <c:strCache>
                <c:ptCount val="2"/>
                <c:pt idx="0">
                  <c:v>Female</c:v>
                </c:pt>
                <c:pt idx="1">
                  <c:v>Male</c:v>
                </c:pt>
              </c:strCache>
            </c:strRef>
          </c:cat>
          <c:val>
            <c:numRef>
              <c:f>Pivot!$B$4:$B$6</c:f>
              <c:numCache>
                <c:formatCode>_(* #,##0_);_(* \(#,##0\);_(* "-"??_);_(@_)</c:formatCode>
                <c:ptCount val="2"/>
                <c:pt idx="0">
                  <c:v>53440</c:v>
                </c:pt>
                <c:pt idx="1">
                  <c:v>56208.178438661707</c:v>
                </c:pt>
              </c:numCache>
            </c:numRef>
          </c:val>
          <c:extLst>
            <c:ext xmlns:c16="http://schemas.microsoft.com/office/drawing/2014/chart" uri="{C3380CC4-5D6E-409C-BE32-E72D297353CC}">
              <c16:uniqueId val="{00000000-F269-4045-9089-5930ACD3C618}"/>
            </c:ext>
          </c:extLst>
        </c:ser>
        <c:ser>
          <c:idx val="1"/>
          <c:order val="1"/>
          <c:tx>
            <c:strRef>
              <c:f>Pivot!$C$2:$C$3</c:f>
              <c:strCache>
                <c:ptCount val="1"/>
                <c:pt idx="0">
                  <c:v>Yes</c:v>
                </c:pt>
              </c:strCache>
            </c:strRef>
          </c:tx>
          <c:spPr>
            <a:solidFill>
              <a:schemeClr val="accent2"/>
            </a:solidFill>
            <a:ln>
              <a:noFill/>
            </a:ln>
            <a:effectLst/>
          </c:spPr>
          <c:invertIfNegative val="0"/>
          <c:cat>
            <c:strRef>
              <c:f>Pivot!$A$4:$A$6</c:f>
              <c:strCache>
                <c:ptCount val="2"/>
                <c:pt idx="0">
                  <c:v>Female</c:v>
                </c:pt>
                <c:pt idx="1">
                  <c:v>Male</c:v>
                </c:pt>
              </c:strCache>
            </c:strRef>
          </c:cat>
          <c:val>
            <c:numRef>
              <c:f>Pivot!$C$4:$C$6</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F269-4045-9089-5930ACD3C618}"/>
            </c:ext>
          </c:extLst>
        </c:ser>
        <c:dLbls>
          <c:showLegendKey val="0"/>
          <c:showVal val="0"/>
          <c:showCatName val="0"/>
          <c:showSerName val="0"/>
          <c:showPercent val="0"/>
          <c:showBubbleSize val="0"/>
        </c:dLbls>
        <c:gapWidth val="219"/>
        <c:axId val="1025792575"/>
        <c:axId val="1025793055"/>
      </c:barChart>
      <c:catAx>
        <c:axId val="1025792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39943485682710717"/>
              <c:y val="0.784538511633414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93055"/>
        <c:crosses val="autoZero"/>
        <c:auto val="1"/>
        <c:lblAlgn val="ctr"/>
        <c:lblOffset val="100"/>
        <c:noMultiLvlLbl val="0"/>
      </c:catAx>
      <c:valAx>
        <c:axId val="1025793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7925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5978434632842"/>
          <c:y val="0.27713059305086862"/>
          <c:w val="0.65814678924296766"/>
          <c:h val="0.50472558117735278"/>
        </c:manualLayout>
      </c:layout>
      <c:lineChart>
        <c:grouping val="standard"/>
        <c:varyColors val="0"/>
        <c:ser>
          <c:idx val="0"/>
          <c:order val="0"/>
          <c:tx>
            <c:strRef>
              <c:f>Pivot!$C$21:$C$22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Pivot!$B$23:$B$28</c:f>
              <c:strCache>
                <c:ptCount val="5"/>
                <c:pt idx="0">
                  <c:v>0-1 Miles</c:v>
                </c:pt>
                <c:pt idx="1">
                  <c:v>10+ Miles</c:v>
                </c:pt>
                <c:pt idx="2">
                  <c:v>1-2 Miles</c:v>
                </c:pt>
                <c:pt idx="3">
                  <c:v>2-5 Miles</c:v>
                </c:pt>
                <c:pt idx="4">
                  <c:v>5-10 Miles</c:v>
                </c:pt>
              </c:strCache>
            </c:strRef>
          </c:cat>
          <c:val>
            <c:numRef>
              <c:f>Pivot!$C$23:$C$28</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AF1C-4688-BEAC-0EFC6C08F563}"/>
            </c:ext>
          </c:extLst>
        </c:ser>
        <c:ser>
          <c:idx val="1"/>
          <c:order val="1"/>
          <c:tx>
            <c:strRef>
              <c:f>Pivot!$D$21:$D$22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Pivot!$B$23:$B$28</c:f>
              <c:strCache>
                <c:ptCount val="5"/>
                <c:pt idx="0">
                  <c:v>0-1 Miles</c:v>
                </c:pt>
                <c:pt idx="1">
                  <c:v>10+ Miles</c:v>
                </c:pt>
                <c:pt idx="2">
                  <c:v>1-2 Miles</c:v>
                </c:pt>
                <c:pt idx="3">
                  <c:v>2-5 Miles</c:v>
                </c:pt>
                <c:pt idx="4">
                  <c:v>5-10 Miles</c:v>
                </c:pt>
              </c:strCache>
            </c:strRef>
          </c:cat>
          <c:val>
            <c:numRef>
              <c:f>Pivot!$D$23:$D$28</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AF1C-4688-BEAC-0EFC6C08F563}"/>
            </c:ext>
          </c:extLst>
        </c:ser>
        <c:dLbls>
          <c:dLblPos val="ctr"/>
          <c:showLegendKey val="0"/>
          <c:showVal val="0"/>
          <c:showCatName val="0"/>
          <c:showSerName val="0"/>
          <c:showPercent val="0"/>
          <c:showBubbleSize val="0"/>
        </c:dLbls>
        <c:marker val="1"/>
        <c:smooth val="0"/>
        <c:axId val="1028893055"/>
        <c:axId val="1028892095"/>
      </c:lineChart>
      <c:catAx>
        <c:axId val="102889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92095"/>
        <c:crosses val="autoZero"/>
        <c:auto val="1"/>
        <c:lblAlgn val="ctr"/>
        <c:lblOffset val="100"/>
        <c:noMultiLvlLbl val="0"/>
      </c:catAx>
      <c:valAx>
        <c:axId val="102889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893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Pivot!$C$35:$C$36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Pivot!$B$37:$B$40</c:f>
              <c:strCache>
                <c:ptCount val="3"/>
                <c:pt idx="0">
                  <c:v>Adolescent</c:v>
                </c:pt>
                <c:pt idx="1">
                  <c:v>Middle Aged</c:v>
                </c:pt>
                <c:pt idx="2">
                  <c:v>Old</c:v>
                </c:pt>
              </c:strCache>
            </c:strRef>
          </c:cat>
          <c:val>
            <c:numRef>
              <c:f>Pivot!$C$37:$C$40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394-4A54-AE94-971A5D88CCB6}"/>
            </c:ext>
          </c:extLst>
        </c:ser>
        <c:ser>
          <c:idx val="1"/>
          <c:order val="1"/>
          <c:tx>
            <c:strRef>
              <c:f>Pivot!$D$35:$D$36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Pivot!$B$37:$B$40</c:f>
              <c:strCache>
                <c:ptCount val="3"/>
                <c:pt idx="0">
                  <c:v>Adolescent</c:v>
                </c:pt>
                <c:pt idx="1">
                  <c:v>Middle Aged</c:v>
                </c:pt>
                <c:pt idx="2">
                  <c:v>Old</c:v>
                </c:pt>
              </c:strCache>
            </c:strRef>
          </c:cat>
          <c:val>
            <c:numRef>
              <c:f>Pivot!$D$37:$D$40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394-4A54-AE94-971A5D88CCB6}"/>
            </c:ext>
          </c:extLst>
        </c:ser>
        <c:dLbls>
          <c:showLegendKey val="0"/>
          <c:showVal val="0"/>
          <c:showCatName val="0"/>
          <c:showSerName val="0"/>
          <c:showPercent val="0"/>
          <c:showBubbleSize val="0"/>
        </c:dLbls>
        <c:marker val="1"/>
        <c:smooth val="0"/>
        <c:axId val="647705983"/>
        <c:axId val="870799823"/>
      </c:lineChart>
      <c:catAx>
        <c:axId val="64770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799823"/>
        <c:crosses val="autoZero"/>
        <c:auto val="1"/>
        <c:lblAlgn val="ctr"/>
        <c:lblOffset val="100"/>
        <c:noMultiLvlLbl val="0"/>
      </c:catAx>
      <c:valAx>
        <c:axId val="87079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70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396240</xdr:colOff>
      <xdr:row>1</xdr:row>
      <xdr:rowOff>3810</xdr:rowOff>
    </xdr:from>
    <xdr:to>
      <xdr:col>11</xdr:col>
      <xdr:colOff>182880</xdr:colOff>
      <xdr:row>14</xdr:row>
      <xdr:rowOff>160020</xdr:rowOff>
    </xdr:to>
    <xdr:graphicFrame macro="">
      <xdr:nvGraphicFramePr>
        <xdr:cNvPr id="2" name="Chart 1">
          <a:extLst>
            <a:ext uri="{FF2B5EF4-FFF2-40B4-BE49-F238E27FC236}">
              <a16:creationId xmlns:a16="http://schemas.microsoft.com/office/drawing/2014/main" id="{E2A345EE-7A95-D982-F68F-245DB38D6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7620</xdr:rowOff>
    </xdr:from>
    <xdr:to>
      <xdr:col>13</xdr:col>
      <xdr:colOff>99060</xdr:colOff>
      <xdr:row>31</xdr:row>
      <xdr:rowOff>7620</xdr:rowOff>
    </xdr:to>
    <xdr:graphicFrame macro="">
      <xdr:nvGraphicFramePr>
        <xdr:cNvPr id="3" name="Chart 2">
          <a:extLst>
            <a:ext uri="{FF2B5EF4-FFF2-40B4-BE49-F238E27FC236}">
              <a16:creationId xmlns:a16="http://schemas.microsoft.com/office/drawing/2014/main" id="{CB9F08EE-A324-9F7B-A9B3-E09AC9C98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32</xdr:row>
      <xdr:rowOff>171450</xdr:rowOff>
    </xdr:from>
    <xdr:to>
      <xdr:col>13</xdr:col>
      <xdr:colOff>594360</xdr:colOff>
      <xdr:row>47</xdr:row>
      <xdr:rowOff>167640</xdr:rowOff>
    </xdr:to>
    <xdr:graphicFrame macro="">
      <xdr:nvGraphicFramePr>
        <xdr:cNvPr id="4" name="Chart 3">
          <a:extLst>
            <a:ext uri="{FF2B5EF4-FFF2-40B4-BE49-F238E27FC236}">
              <a16:creationId xmlns:a16="http://schemas.microsoft.com/office/drawing/2014/main" id="{870C0314-BEDC-59BE-36B5-AA4E942B0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297180</xdr:colOff>
      <xdr:row>4</xdr:row>
      <xdr:rowOff>50588</xdr:rowOff>
    </xdr:from>
    <xdr:to>
      <xdr:col>9</xdr:col>
      <xdr:colOff>213360</xdr:colOff>
      <xdr:row>18</xdr:row>
      <xdr:rowOff>3810</xdr:rowOff>
    </xdr:to>
    <xdr:graphicFrame macro="">
      <xdr:nvGraphicFramePr>
        <xdr:cNvPr id="2" name="Chart 1">
          <a:extLst>
            <a:ext uri="{FF2B5EF4-FFF2-40B4-BE49-F238E27FC236}">
              <a16:creationId xmlns:a16="http://schemas.microsoft.com/office/drawing/2014/main" id="{E2D90DB9-6097-4F4F-B80E-54727DB65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450426</xdr:colOff>
      <xdr:row>18</xdr:row>
      <xdr:rowOff>50800</xdr:rowOff>
    </xdr:from>
    <xdr:to>
      <xdr:col>15</xdr:col>
      <xdr:colOff>321733</xdr:colOff>
      <xdr:row>32</xdr:row>
      <xdr:rowOff>27940</xdr:rowOff>
    </xdr:to>
    <xdr:graphicFrame macro="">
      <xdr:nvGraphicFramePr>
        <xdr:cNvPr id="3" name="Chart 2">
          <a:extLst>
            <a:ext uri="{FF2B5EF4-FFF2-40B4-BE49-F238E27FC236}">
              <a16:creationId xmlns:a16="http://schemas.microsoft.com/office/drawing/2014/main" id="{422B1E7D-8F11-4C8D-B4CA-C2C149A24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289560</xdr:colOff>
      <xdr:row>4</xdr:row>
      <xdr:rowOff>59267</xdr:rowOff>
    </xdr:from>
    <xdr:to>
      <xdr:col>16</xdr:col>
      <xdr:colOff>0</xdr:colOff>
      <xdr:row>17</xdr:row>
      <xdr:rowOff>183939</xdr:rowOff>
    </xdr:to>
    <xdr:graphicFrame macro="">
      <xdr:nvGraphicFramePr>
        <xdr:cNvPr id="4" name="Chart 3">
          <a:extLst>
            <a:ext uri="{FF2B5EF4-FFF2-40B4-BE49-F238E27FC236}">
              <a16:creationId xmlns:a16="http://schemas.microsoft.com/office/drawing/2014/main" id="{DBB03F71-47BE-4E9F-AEB6-966C84C56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4</xdr:row>
      <xdr:rowOff>83821</xdr:rowOff>
    </xdr:from>
    <xdr:to>
      <xdr:col>2</xdr:col>
      <xdr:colOff>251460</xdr:colOff>
      <xdr:row>9</xdr:row>
      <xdr:rowOff>83820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2D374056-9995-5A31-BC8D-19832909EBD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340" y="828888"/>
              <a:ext cx="1417320" cy="931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9</xdr:row>
      <xdr:rowOff>175261</xdr:rowOff>
    </xdr:from>
    <xdr:to>
      <xdr:col>2</xdr:col>
      <xdr:colOff>251460</xdr:colOff>
      <xdr:row>16</xdr:row>
      <xdr:rowOff>60961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2DBA642-B3C9-E268-D7D4-A0C9E1EA2F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1851661"/>
              <a:ext cx="1417320" cy="1189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17</xdr:row>
      <xdr:rowOff>0</xdr:rowOff>
    </xdr:from>
    <xdr:to>
      <xdr:col>2</xdr:col>
      <xdr:colOff>236220</xdr:colOff>
      <xdr:row>26</xdr:row>
      <xdr:rowOff>53341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11C5A153-984C-FF1D-9343-190848052C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3166533"/>
              <a:ext cx="1417320" cy="1729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Haridasyam" refreshedDate="46049.860081134262" createdVersion="8" refreshedVersion="8" minRefreshableVersion="3" recordCount="1000" xr:uid="{BF1C41A8-6B6E-4E7F-A7BB-6345A9F74E88}">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44769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3CC9E-D336-4224-8A3A-510AD0B60FE9}"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5:E4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DCEC7E-478A-468B-A910-AA6CDDFE037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1:E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14FC76-F3FE-4467-A1D0-D55170AB385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2">
    <format dxfId="31">
      <pivotArea collapsedLevelsAreSubtotals="1" fieldPosition="0">
        <references count="2">
          <reference field="2" count="1">
            <x v="0"/>
          </reference>
          <reference field="13" count="1" selected="0">
            <x v="0"/>
          </reference>
        </references>
      </pivotArea>
    </format>
    <format dxfId="3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70F98B3-0368-4D9D-BD1B-802197D91DB3}" sourceName="Marital Status">
  <pivotTables>
    <pivotTable tabId="2" name="PivotTable3"/>
    <pivotTable tabId="2" name="PivotTable1"/>
    <pivotTable tabId="2" name="PivotTable2"/>
  </pivotTables>
  <data>
    <tabular pivotCacheId="21447697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BAB98F-3523-42B4-A1CF-F9289587E36F}" sourceName="Region">
  <pivotTables>
    <pivotTable tabId="2" name="PivotTable1"/>
    <pivotTable tabId="2" name="PivotTable2"/>
    <pivotTable tabId="2" name="PivotTable3"/>
  </pivotTables>
  <data>
    <tabular pivotCacheId="214476970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930366-EB61-40D3-A0D9-75B7F9597F41}" sourceName="Education">
  <pivotTables>
    <pivotTable tabId="2" name="PivotTable1"/>
    <pivotTable tabId="2" name="PivotTable2"/>
    <pivotTable tabId="2" name="PivotTable3"/>
  </pivotTables>
  <data>
    <tabular pivotCacheId="214476970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3B11EFA-516D-4179-BCF9-57A5D44CE32A}" cache="Slicer_Marital_Status" caption="Marital Status" rowHeight="234950"/>
  <slicer name="Region" xr10:uid="{287598FB-9BDF-4128-8594-140B69C50CBC}" cache="Slicer_Region" caption="Region" rowHeight="234950"/>
  <slicer name="Education" xr10:uid="{B45A4840-5363-4344-9C34-82855A83B2A4}"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17" sqref="L1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E85EE-A32C-4AEF-A270-B3048BAB7C00}">
  <dimension ref="A1:N1001"/>
  <sheetViews>
    <sheetView topLeftCell="A486" workbookViewId="0">
      <selection activeCell="M12" sqref="M12"/>
    </sheetView>
  </sheetViews>
  <sheetFormatPr defaultColWidth="13.109375" defaultRowHeight="14.4" x14ac:dyDescent="0.3"/>
  <cols>
    <col min="4" max="4" width="13.109375"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"Old",IF(L2&gt;=31, "Middle Aged",IF(L2&lt;31,"Adolescent","Invalid")))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"Old",IF(L3&gt;=31, "Middle Aged",IF(L3&lt;31,"Adolescent","Invalid")))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Middle Aged</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Middle Aged</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30</v>
      </c>
      <c r="K13" t="s">
        <v>24</v>
      </c>
      <c r="L13">
        <v>36</v>
      </c>
      <c r="M13" t="str">
        <f t="shared" si="0"/>
        <v>Middle Aged</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
      <c r="A23">
        <v>21564</v>
      </c>
      <c r="B23" t="s">
        <v>37</v>
      </c>
      <c r="C23" t="s">
        <v>39</v>
      </c>
      <c r="D23" s="3">
        <v>80000</v>
      </c>
      <c r="E23">
        <v>0</v>
      </c>
      <c r="F23" t="s">
        <v>13</v>
      </c>
      <c r="G23" t="s">
        <v>21</v>
      </c>
      <c r="H23" t="s">
        <v>15</v>
      </c>
      <c r="I23">
        <v>4</v>
      </c>
      <c r="J23" t="s">
        <v>30</v>
      </c>
      <c r="K23" t="s">
        <v>24</v>
      </c>
      <c r="L23">
        <v>35</v>
      </c>
      <c r="M23" t="str">
        <f t="shared" si="0"/>
        <v>Middle Aged</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30</v>
      </c>
      <c r="K53" t="s">
        <v>24</v>
      </c>
      <c r="L53">
        <v>35</v>
      </c>
      <c r="M53" t="str">
        <f t="shared" si="0"/>
        <v>Middle Aged</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30</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30</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"Old",IF(L67&gt;=31, "Middle Aged",IF(L67&lt;31,"Adolescent","Invalid")))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30</v>
      </c>
      <c r="K72" t="s">
        <v>24</v>
      </c>
      <c r="L72">
        <v>36</v>
      </c>
      <c r="M72" t="str">
        <f t="shared" si="1"/>
        <v>Middle Aged</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30</v>
      </c>
      <c r="K124" t="s">
        <v>24</v>
      </c>
      <c r="L124">
        <v>31</v>
      </c>
      <c r="M124" t="str">
        <f t="shared" si="1"/>
        <v>Middle Aged</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Aged",IF(L131&lt;31,"Adolescent","Invalid")))</f>
        <v>Middle Aged</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30</v>
      </c>
      <c r="K145" t="s">
        <v>24</v>
      </c>
      <c r="L145">
        <v>32</v>
      </c>
      <c r="M145" t="str">
        <f t="shared" si="2"/>
        <v>Middle Aged</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30</v>
      </c>
      <c r="K169" t="s">
        <v>24</v>
      </c>
      <c r="L169">
        <v>35</v>
      </c>
      <c r="M169" t="str">
        <f t="shared" si="2"/>
        <v>Middle Aged</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30</v>
      </c>
      <c r="K190" t="s">
        <v>24</v>
      </c>
      <c r="L190">
        <v>32</v>
      </c>
      <c r="M190" t="str">
        <f t="shared" si="2"/>
        <v>Middle Aged</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
      <c r="A194">
        <v>15682</v>
      </c>
      <c r="B194" t="s">
        <v>37</v>
      </c>
      <c r="C194" t="s">
        <v>39</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30</v>
      </c>
      <c r="K195" t="s">
        <v>24</v>
      </c>
      <c r="L195">
        <v>41</v>
      </c>
      <c r="M195" t="str">
        <f t="shared" ref="M195:M258" si="3">IF(L195&gt;54, "Old",IF(L195&gt;=31, "Middle Aged",IF(L195&lt;31,"Adolescent","Invalid")))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
      <c r="A201">
        <v>11453</v>
      </c>
      <c r="B201" t="s">
        <v>37</v>
      </c>
      <c r="C201" t="s">
        <v>38</v>
      </c>
      <c r="D201" s="3">
        <v>80000</v>
      </c>
      <c r="E201">
        <v>0</v>
      </c>
      <c r="F201" t="s">
        <v>13</v>
      </c>
      <c r="G201" t="s">
        <v>21</v>
      </c>
      <c r="H201" t="s">
        <v>18</v>
      </c>
      <c r="I201">
        <v>3</v>
      </c>
      <c r="J201" t="s">
        <v>30</v>
      </c>
      <c r="K201" t="s">
        <v>24</v>
      </c>
      <c r="L201">
        <v>33</v>
      </c>
      <c r="M201" t="str">
        <f t="shared" si="3"/>
        <v>Middle Aged</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30</v>
      </c>
      <c r="K215" t="s">
        <v>24</v>
      </c>
      <c r="L215">
        <v>31</v>
      </c>
      <c r="M215" t="str">
        <f t="shared" si="3"/>
        <v>Middle Aged</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30</v>
      </c>
      <c r="K225" t="s">
        <v>24</v>
      </c>
      <c r="L225">
        <v>39</v>
      </c>
      <c r="M225" t="str">
        <f t="shared" si="3"/>
        <v>Middle Aged</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30</v>
      </c>
      <c r="K236" t="s">
        <v>24</v>
      </c>
      <c r="L236">
        <v>35</v>
      </c>
      <c r="M236" t="str">
        <f t="shared" si="3"/>
        <v>Middle Aged</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30</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30</v>
      </c>
      <c r="K249" t="s">
        <v>24</v>
      </c>
      <c r="L249">
        <v>34</v>
      </c>
      <c r="M249" t="str">
        <f t="shared" si="3"/>
        <v>Middle Aged</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
      <c r="A255">
        <v>20598</v>
      </c>
      <c r="B255" t="s">
        <v>36</v>
      </c>
      <c r="C255" t="s">
        <v>38</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Aged",IF(L259&lt;31,"Adolescent","Invalid")))</f>
        <v>Middle Aged</v>
      </c>
      <c r="N259" t="s">
        <v>15</v>
      </c>
    </row>
    <row r="260" spans="1:14" x14ac:dyDescent="0.3">
      <c r="A260">
        <v>14193</v>
      </c>
      <c r="B260" t="s">
        <v>37</v>
      </c>
      <c r="C260" t="s">
        <v>39</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30</v>
      </c>
      <c r="K265" t="s">
        <v>24</v>
      </c>
      <c r="L265">
        <v>39</v>
      </c>
      <c r="M265" t="str">
        <f t="shared" si="4"/>
        <v>Middle Aged</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
      <c r="A280">
        <v>20625</v>
      </c>
      <c r="B280" t="s">
        <v>36</v>
      </c>
      <c r="C280" t="s">
        <v>38</v>
      </c>
      <c r="D280" s="3">
        <v>100000</v>
      </c>
      <c r="E280">
        <v>0</v>
      </c>
      <c r="F280" t="s">
        <v>27</v>
      </c>
      <c r="G280" t="s">
        <v>28</v>
      </c>
      <c r="H280" t="s">
        <v>15</v>
      </c>
      <c r="I280">
        <v>3</v>
      </c>
      <c r="J280" t="s">
        <v>30</v>
      </c>
      <c r="K280" t="s">
        <v>24</v>
      </c>
      <c r="L280">
        <v>35</v>
      </c>
      <c r="M280" t="str">
        <f t="shared" si="4"/>
        <v>Middle Aged</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
      <c r="A297">
        <v>21557</v>
      </c>
      <c r="B297" t="s">
        <v>37</v>
      </c>
      <c r="C297" t="s">
        <v>39</v>
      </c>
      <c r="D297" s="3">
        <v>110000</v>
      </c>
      <c r="E297">
        <v>0</v>
      </c>
      <c r="F297" t="s">
        <v>19</v>
      </c>
      <c r="G297" t="s">
        <v>28</v>
      </c>
      <c r="H297" t="s">
        <v>15</v>
      </c>
      <c r="I297">
        <v>3</v>
      </c>
      <c r="J297" t="s">
        <v>30</v>
      </c>
      <c r="K297" t="s">
        <v>24</v>
      </c>
      <c r="L297">
        <v>32</v>
      </c>
      <c r="M297" t="str">
        <f t="shared" si="4"/>
        <v>Middle Aged</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
      <c r="A320">
        <v>19066</v>
      </c>
      <c r="B320" t="s">
        <v>36</v>
      </c>
      <c r="C320" t="s">
        <v>38</v>
      </c>
      <c r="D320" s="3">
        <v>130000</v>
      </c>
      <c r="E320">
        <v>4</v>
      </c>
      <c r="F320" t="s">
        <v>19</v>
      </c>
      <c r="G320" t="s">
        <v>21</v>
      </c>
      <c r="H320" t="s">
        <v>18</v>
      </c>
      <c r="I320">
        <v>3</v>
      </c>
      <c r="J320" t="s">
        <v>30</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Aged",IF(L323&lt;31,"Adolescent","Invalid")))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
      <c r="A331">
        <v>12663</v>
      </c>
      <c r="B331" t="s">
        <v>36</v>
      </c>
      <c r="C331" t="s">
        <v>39</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30</v>
      </c>
      <c r="K332" t="s">
        <v>24</v>
      </c>
      <c r="L332">
        <v>32</v>
      </c>
      <c r="M332" t="str">
        <f t="shared" si="5"/>
        <v>Middle Aged</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
      <c r="A357">
        <v>17238</v>
      </c>
      <c r="B357" t="s">
        <v>37</v>
      </c>
      <c r="C357" t="s">
        <v>38</v>
      </c>
      <c r="D357" s="3">
        <v>80000</v>
      </c>
      <c r="E357">
        <v>0</v>
      </c>
      <c r="F357" t="s">
        <v>13</v>
      </c>
      <c r="G357" t="s">
        <v>21</v>
      </c>
      <c r="H357" t="s">
        <v>15</v>
      </c>
      <c r="I357">
        <v>3</v>
      </c>
      <c r="J357" t="s">
        <v>30</v>
      </c>
      <c r="K357" t="s">
        <v>24</v>
      </c>
      <c r="L357">
        <v>32</v>
      </c>
      <c r="M357" t="str">
        <f t="shared" si="5"/>
        <v>Middle Aged</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30</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30</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Aged",IF(L387&lt;31,"Adolescent","Invalid")))</f>
        <v>Middle Aged</v>
      </c>
      <c r="N387" t="s">
        <v>18</v>
      </c>
    </row>
    <row r="388" spans="1:14" x14ac:dyDescent="0.3">
      <c r="A388">
        <v>28957</v>
      </c>
      <c r="B388" t="s">
        <v>37</v>
      </c>
      <c r="C388" t="s">
        <v>39</v>
      </c>
      <c r="D388" s="3">
        <v>120000</v>
      </c>
      <c r="E388">
        <v>0</v>
      </c>
      <c r="F388" t="s">
        <v>29</v>
      </c>
      <c r="G388" t="s">
        <v>21</v>
      </c>
      <c r="H388" t="s">
        <v>15</v>
      </c>
      <c r="I388">
        <v>4</v>
      </c>
      <c r="J388" t="s">
        <v>30</v>
      </c>
      <c r="K388" t="s">
        <v>24</v>
      </c>
      <c r="L388">
        <v>34</v>
      </c>
      <c r="M388" t="str">
        <f t="shared" si="6"/>
        <v>Middle Aged</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30</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30</v>
      </c>
      <c r="K424" t="s">
        <v>24</v>
      </c>
      <c r="L424">
        <v>32</v>
      </c>
      <c r="M424" t="str">
        <f t="shared" si="6"/>
        <v>Middle Aged</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30</v>
      </c>
      <c r="K434" t="s">
        <v>24</v>
      </c>
      <c r="L434">
        <v>34</v>
      </c>
      <c r="M434" t="str">
        <f t="shared" si="6"/>
        <v>Middle Aged</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30</v>
      </c>
      <c r="K442" t="s">
        <v>24</v>
      </c>
      <c r="L442">
        <v>34</v>
      </c>
      <c r="M442" t="str">
        <f t="shared" si="6"/>
        <v>Middle Aged</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
      <c r="A448">
        <v>14278</v>
      </c>
      <c r="B448" t="s">
        <v>36</v>
      </c>
      <c r="C448" t="s">
        <v>39</v>
      </c>
      <c r="D448" s="3">
        <v>130000</v>
      </c>
      <c r="E448">
        <v>0</v>
      </c>
      <c r="F448" t="s">
        <v>31</v>
      </c>
      <c r="G448" t="s">
        <v>28</v>
      </c>
      <c r="H448" t="s">
        <v>15</v>
      </c>
      <c r="I448">
        <v>1</v>
      </c>
      <c r="J448" t="s">
        <v>30</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Aged",IF(L451&lt;31,"Adolescent","Invalid")))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30</v>
      </c>
      <c r="K460" t="s">
        <v>24</v>
      </c>
      <c r="L460">
        <v>32</v>
      </c>
      <c r="M460" t="str">
        <f t="shared" si="7"/>
        <v>Middle Aged</v>
      </c>
      <c r="N460" t="s">
        <v>15</v>
      </c>
    </row>
    <row r="461" spans="1:14" x14ac:dyDescent="0.3">
      <c r="A461">
        <v>21554</v>
      </c>
      <c r="B461" t="s">
        <v>37</v>
      </c>
      <c r="C461" t="s">
        <v>39</v>
      </c>
      <c r="D461" s="3">
        <v>80000</v>
      </c>
      <c r="E461">
        <v>0</v>
      </c>
      <c r="F461" t="s">
        <v>13</v>
      </c>
      <c r="G461" t="s">
        <v>21</v>
      </c>
      <c r="H461" t="s">
        <v>18</v>
      </c>
      <c r="I461">
        <v>3</v>
      </c>
      <c r="J461" t="s">
        <v>30</v>
      </c>
      <c r="K461" t="s">
        <v>24</v>
      </c>
      <c r="L461">
        <v>33</v>
      </c>
      <c r="M461" t="str">
        <f t="shared" si="7"/>
        <v>Middle Aged</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
      <c r="A495">
        <v>23707</v>
      </c>
      <c r="B495" t="s">
        <v>37</v>
      </c>
      <c r="C495" t="s">
        <v>38</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30</v>
      </c>
      <c r="K515" t="s">
        <v>32</v>
      </c>
      <c r="L515">
        <v>61</v>
      </c>
      <c r="M515" t="str">
        <f t="shared" ref="M515:M578" si="8">IF(L515&gt;54, "Old",IF(L515&gt;=31, "Middle Aged",IF(L515&lt;31,"Adolescent","Invalid")))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30</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30</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
      <c r="A577">
        <v>13388</v>
      </c>
      <c r="B577" t="s">
        <v>37</v>
      </c>
      <c r="C577" t="s">
        <v>38</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Aged",IF(L579&lt;31,"Adolescent","Invalid")))</f>
        <v>Middle Aged</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
      <c r="A582">
        <v>20380</v>
      </c>
      <c r="B582" t="s">
        <v>36</v>
      </c>
      <c r="C582" t="s">
        <v>39</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30</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
      <c r="A593">
        <v>18545</v>
      </c>
      <c r="B593" t="s">
        <v>36</v>
      </c>
      <c r="C593" t="s">
        <v>38</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
      <c r="A609">
        <v>16145</v>
      </c>
      <c r="B609" t="s">
        <v>37</v>
      </c>
      <c r="C609" t="s">
        <v>39</v>
      </c>
      <c r="D609" s="3">
        <v>70000</v>
      </c>
      <c r="E609">
        <v>5</v>
      </c>
      <c r="F609" t="s">
        <v>31</v>
      </c>
      <c r="G609" t="s">
        <v>21</v>
      </c>
      <c r="H609" t="s">
        <v>15</v>
      </c>
      <c r="I609">
        <v>3</v>
      </c>
      <c r="J609" t="s">
        <v>30</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30</v>
      </c>
      <c r="K643" t="s">
        <v>32</v>
      </c>
      <c r="L643">
        <v>64</v>
      </c>
      <c r="M643" t="str">
        <f t="shared" ref="M643:M706" si="10">IF(L643&gt;54, "Old",IF(L643&gt;=31, "Middle Aged",IF(L643&lt;31,"Adolescent","Invalid")))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
      <c r="A646">
        <v>23368</v>
      </c>
      <c r="B646" t="s">
        <v>36</v>
      </c>
      <c r="C646" t="s">
        <v>39</v>
      </c>
      <c r="D646" s="3">
        <v>60000</v>
      </c>
      <c r="E646">
        <v>5</v>
      </c>
      <c r="F646" t="s">
        <v>13</v>
      </c>
      <c r="G646" t="s">
        <v>14</v>
      </c>
      <c r="H646" t="s">
        <v>15</v>
      </c>
      <c r="I646">
        <v>3</v>
      </c>
      <c r="J646" t="s">
        <v>30</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
      <c r="A652">
        <v>18435</v>
      </c>
      <c r="B652" t="s">
        <v>37</v>
      </c>
      <c r="C652" t="s">
        <v>39</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
      <c r="A661">
        <v>24643</v>
      </c>
      <c r="B661" t="s">
        <v>37</v>
      </c>
      <c r="C661" t="s">
        <v>39</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30</v>
      </c>
      <c r="K707" t="s">
        <v>32</v>
      </c>
      <c r="L707">
        <v>59</v>
      </c>
      <c r="M707" t="str">
        <f t="shared" ref="M707:M770" si="11">IF(L707&gt;54, "Old",IF(L707&gt;=31, "Middle Aged",IF(L707&lt;31,"Adolescent","Invalid")))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
      <c r="A713">
        <v>20518</v>
      </c>
      <c r="B713" t="s">
        <v>36</v>
      </c>
      <c r="C713" t="s">
        <v>39</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
      <c r="A768">
        <v>14608</v>
      </c>
      <c r="B768" t="s">
        <v>36</v>
      </c>
      <c r="C768" t="s">
        <v>38</v>
      </c>
      <c r="D768" s="3">
        <v>50000</v>
      </c>
      <c r="E768">
        <v>4</v>
      </c>
      <c r="F768" t="s">
        <v>13</v>
      </c>
      <c r="G768" t="s">
        <v>14</v>
      </c>
      <c r="H768" t="s">
        <v>15</v>
      </c>
      <c r="I768">
        <v>3</v>
      </c>
      <c r="J768" t="s">
        <v>30</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Aged",IF(L771&lt;31,"Adolescent","Invalid")))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
      <c r="A777">
        <v>29030</v>
      </c>
      <c r="B777" t="s">
        <v>36</v>
      </c>
      <c r="C777" t="s">
        <v>38</v>
      </c>
      <c r="D777" s="3">
        <v>70000</v>
      </c>
      <c r="E777">
        <v>2</v>
      </c>
      <c r="F777" t="s">
        <v>29</v>
      </c>
      <c r="G777" t="s">
        <v>14</v>
      </c>
      <c r="H777" t="s">
        <v>15</v>
      </c>
      <c r="I777">
        <v>2</v>
      </c>
      <c r="J777" t="s">
        <v>30</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
      <c r="A814">
        <v>15749</v>
      </c>
      <c r="B814" t="s">
        <v>37</v>
      </c>
      <c r="C814" t="s">
        <v>39</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30</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Aged",IF(L835&lt;31,"Adolescent","Invalid")))</f>
        <v>Middle Aged</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
      <c r="A842">
        <v>11233</v>
      </c>
      <c r="B842" t="s">
        <v>36</v>
      </c>
      <c r="C842" t="s">
        <v>38</v>
      </c>
      <c r="D842" s="3">
        <v>70000</v>
      </c>
      <c r="E842">
        <v>4</v>
      </c>
      <c r="F842" t="s">
        <v>19</v>
      </c>
      <c r="G842" t="s">
        <v>21</v>
      </c>
      <c r="H842" t="s">
        <v>15</v>
      </c>
      <c r="I842">
        <v>2</v>
      </c>
      <c r="J842" t="s">
        <v>30</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
      <c r="A868">
        <v>28052</v>
      </c>
      <c r="B868" t="s">
        <v>36</v>
      </c>
      <c r="C868" t="s">
        <v>38</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Aged",IF(L899&lt;31,"Adolescent","Invalid")))</f>
        <v>Adolescent</v>
      </c>
      <c r="N899" t="s">
        <v>18</v>
      </c>
    </row>
    <row r="900" spans="1:14" x14ac:dyDescent="0.3">
      <c r="A900">
        <v>18066</v>
      </c>
      <c r="B900" t="s">
        <v>37</v>
      </c>
      <c r="C900" t="s">
        <v>38</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30</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
      <c r="A909">
        <v>19747</v>
      </c>
      <c r="B909" t="s">
        <v>36</v>
      </c>
      <c r="C909" t="s">
        <v>38</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
      <c r="A921">
        <v>21451</v>
      </c>
      <c r="B921" t="s">
        <v>36</v>
      </c>
      <c r="C921" t="s">
        <v>39</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
      <c r="A928">
        <v>26495</v>
      </c>
      <c r="B928" t="s">
        <v>37</v>
      </c>
      <c r="C928" t="s">
        <v>39</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30</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30</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Aged",IF(L963&lt;31,"Adolescent","Invalid")))</f>
        <v>Old</v>
      </c>
      <c r="N963" t="s">
        <v>18</v>
      </c>
    </row>
    <row r="964" spans="1:14" x14ac:dyDescent="0.3">
      <c r="A964">
        <v>16813</v>
      </c>
      <c r="B964" t="s">
        <v>36</v>
      </c>
      <c r="C964" t="s">
        <v>38</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
      <c r="A978">
        <v>28004</v>
      </c>
      <c r="B978" t="s">
        <v>36</v>
      </c>
      <c r="C978" t="s">
        <v>39</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
      <c r="A982">
        <v>18594</v>
      </c>
      <c r="B982" t="s">
        <v>37</v>
      </c>
      <c r="C982" t="s">
        <v>39</v>
      </c>
      <c r="D982" s="3">
        <v>80000</v>
      </c>
      <c r="E982">
        <v>3</v>
      </c>
      <c r="F982" t="s">
        <v>13</v>
      </c>
      <c r="G982" t="s">
        <v>14</v>
      </c>
      <c r="H982" t="s">
        <v>15</v>
      </c>
      <c r="I982">
        <v>3</v>
      </c>
      <c r="J982" t="s">
        <v>30</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30</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
      <c r="A1001">
        <v>12121</v>
      </c>
      <c r="B1001" t="s">
        <v>37</v>
      </c>
      <c r="C1001" t="s">
        <v>38</v>
      </c>
      <c r="D1001" s="3">
        <v>60000</v>
      </c>
      <c r="E1001">
        <v>3</v>
      </c>
      <c r="F1001" t="s">
        <v>27</v>
      </c>
      <c r="G1001" t="s">
        <v>21</v>
      </c>
      <c r="H1001" t="s">
        <v>15</v>
      </c>
      <c r="I1001">
        <v>2</v>
      </c>
      <c r="J1001" t="s">
        <v>30</v>
      </c>
      <c r="K1001" t="s">
        <v>32</v>
      </c>
      <c r="L1001">
        <v>53</v>
      </c>
      <c r="M1001" t="str">
        <f t="shared" si="15"/>
        <v>Middle Aged</v>
      </c>
      <c r="N1001" t="s">
        <v>15</v>
      </c>
    </row>
  </sheetData>
  <autoFilter ref="A1:N1001" xr:uid="{F28E85EE-A32C-4AEF-A270-B3048BAB7C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39DBA-4C4D-4D3D-BA40-DA5D5A242EF2}">
  <dimension ref="A2:E40"/>
  <sheetViews>
    <sheetView topLeftCell="A26" workbookViewId="0">
      <selection activeCell="M14" sqref="M14"/>
    </sheetView>
  </sheetViews>
  <sheetFormatPr defaultRowHeight="14.4" x14ac:dyDescent="0.3"/>
  <cols>
    <col min="1" max="1" width="17" bestFit="1" customWidth="1"/>
    <col min="2" max="2" width="21.88671875" bestFit="1" customWidth="1"/>
    <col min="3" max="3" width="15.5546875" bestFit="1" customWidth="1"/>
    <col min="4" max="4" width="4" bestFit="1" customWidth="1"/>
    <col min="5" max="5" width="10.77734375" bestFit="1" customWidth="1"/>
  </cols>
  <sheetData>
    <row r="2" spans="1:4" x14ac:dyDescent="0.3">
      <c r="A2" s="4" t="s">
        <v>44</v>
      </c>
      <c r="B2" s="4" t="s">
        <v>43</v>
      </c>
    </row>
    <row r="3" spans="1:4" x14ac:dyDescent="0.3">
      <c r="A3" s="4" t="s">
        <v>41</v>
      </c>
      <c r="B3" t="s">
        <v>18</v>
      </c>
      <c r="C3" t="s">
        <v>15</v>
      </c>
      <c r="D3" t="s">
        <v>42</v>
      </c>
    </row>
    <row r="4" spans="1:4" x14ac:dyDescent="0.3">
      <c r="A4" s="5" t="s">
        <v>39</v>
      </c>
      <c r="B4" s="6">
        <v>53440</v>
      </c>
      <c r="C4" s="6">
        <v>55774.058577405856</v>
      </c>
      <c r="D4" s="6">
        <v>54580.777096114522</v>
      </c>
    </row>
    <row r="5" spans="1:4" x14ac:dyDescent="0.3">
      <c r="A5" s="5" t="s">
        <v>38</v>
      </c>
      <c r="B5" s="6">
        <v>56208.178438661707</v>
      </c>
      <c r="C5" s="6">
        <v>60123.966942148763</v>
      </c>
      <c r="D5" s="6">
        <v>58062.62230919765</v>
      </c>
    </row>
    <row r="6" spans="1:4" x14ac:dyDescent="0.3">
      <c r="A6" s="5" t="s">
        <v>42</v>
      </c>
      <c r="B6" s="6">
        <v>54874.759152215796</v>
      </c>
      <c r="C6" s="6">
        <v>57962.577962577961</v>
      </c>
      <c r="D6" s="6">
        <v>56360</v>
      </c>
    </row>
    <row r="21" spans="2:5" x14ac:dyDescent="0.3">
      <c r="B21" s="4" t="s">
        <v>45</v>
      </c>
      <c r="C21" s="4" t="s">
        <v>43</v>
      </c>
    </row>
    <row r="22" spans="2:5" x14ac:dyDescent="0.3">
      <c r="B22" s="4" t="s">
        <v>41</v>
      </c>
      <c r="C22" t="s">
        <v>18</v>
      </c>
      <c r="D22" t="s">
        <v>15</v>
      </c>
      <c r="E22" t="s">
        <v>42</v>
      </c>
    </row>
    <row r="23" spans="2:5" x14ac:dyDescent="0.3">
      <c r="B23" s="5" t="s">
        <v>16</v>
      </c>
      <c r="C23" s="7">
        <v>166</v>
      </c>
      <c r="D23" s="7">
        <v>200</v>
      </c>
      <c r="E23" s="7">
        <v>366</v>
      </c>
    </row>
    <row r="24" spans="2:5" x14ac:dyDescent="0.3">
      <c r="B24" s="5" t="s">
        <v>30</v>
      </c>
      <c r="C24" s="7">
        <v>78</v>
      </c>
      <c r="D24" s="7">
        <v>33</v>
      </c>
      <c r="E24" s="7">
        <v>111</v>
      </c>
    </row>
    <row r="25" spans="2:5" x14ac:dyDescent="0.3">
      <c r="B25" s="5" t="s">
        <v>26</v>
      </c>
      <c r="C25" s="7">
        <v>92</v>
      </c>
      <c r="D25" s="7">
        <v>77</v>
      </c>
      <c r="E25" s="7">
        <v>169</v>
      </c>
    </row>
    <row r="26" spans="2:5" x14ac:dyDescent="0.3">
      <c r="B26" s="5" t="s">
        <v>22</v>
      </c>
      <c r="C26" s="7">
        <v>67</v>
      </c>
      <c r="D26" s="7">
        <v>95</v>
      </c>
      <c r="E26" s="7">
        <v>162</v>
      </c>
    </row>
    <row r="27" spans="2:5" x14ac:dyDescent="0.3">
      <c r="B27" s="5" t="s">
        <v>23</v>
      </c>
      <c r="C27" s="7">
        <v>116</v>
      </c>
      <c r="D27" s="7">
        <v>76</v>
      </c>
      <c r="E27" s="7">
        <v>192</v>
      </c>
    </row>
    <row r="28" spans="2:5" x14ac:dyDescent="0.3">
      <c r="B28" s="5" t="s">
        <v>42</v>
      </c>
      <c r="C28" s="7">
        <v>519</v>
      </c>
      <c r="D28" s="7">
        <v>481</v>
      </c>
      <c r="E28" s="7">
        <v>1000</v>
      </c>
    </row>
    <row r="35" spans="2:5" x14ac:dyDescent="0.3">
      <c r="B35" s="4" t="s">
        <v>45</v>
      </c>
      <c r="C35" s="4" t="s">
        <v>43</v>
      </c>
    </row>
    <row r="36" spans="2:5" x14ac:dyDescent="0.3">
      <c r="B36" s="4" t="s">
        <v>41</v>
      </c>
      <c r="C36" t="s">
        <v>18</v>
      </c>
      <c r="D36" t="s">
        <v>15</v>
      </c>
      <c r="E36" t="s">
        <v>42</v>
      </c>
    </row>
    <row r="37" spans="2:5" x14ac:dyDescent="0.3">
      <c r="B37" s="5" t="s">
        <v>46</v>
      </c>
      <c r="C37" s="7">
        <v>71</v>
      </c>
      <c r="D37" s="7">
        <v>39</v>
      </c>
      <c r="E37" s="7">
        <v>110</v>
      </c>
    </row>
    <row r="38" spans="2:5" x14ac:dyDescent="0.3">
      <c r="B38" s="5" t="s">
        <v>47</v>
      </c>
      <c r="C38" s="7">
        <v>318</v>
      </c>
      <c r="D38" s="7">
        <v>383</v>
      </c>
      <c r="E38" s="7">
        <v>701</v>
      </c>
    </row>
    <row r="39" spans="2:5" x14ac:dyDescent="0.3">
      <c r="B39" s="5" t="s">
        <v>48</v>
      </c>
      <c r="C39" s="7">
        <v>130</v>
      </c>
      <c r="D39" s="7">
        <v>59</v>
      </c>
      <c r="E39" s="7">
        <v>189</v>
      </c>
    </row>
    <row r="40" spans="2:5" x14ac:dyDescent="0.3">
      <c r="B40" s="5" t="s">
        <v>42</v>
      </c>
      <c r="C40" s="7">
        <v>519</v>
      </c>
      <c r="D40" s="7">
        <v>481</v>
      </c>
      <c r="E40"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4436F-C85B-4DE8-83DB-4E5843A85504}">
  <dimension ref="A1:P4"/>
  <sheetViews>
    <sheetView showGridLines="0" tabSelected="1" zoomScale="90" zoomScaleNormal="90" workbookViewId="0">
      <selection activeCell="Q23" sqref="Q23"/>
    </sheetView>
  </sheetViews>
  <sheetFormatPr defaultRowHeight="14.4" x14ac:dyDescent="0.3"/>
  <sheetData>
    <row r="1" spans="1:16" ht="14.4" customHeight="1" x14ac:dyDescent="0.3">
      <c r="A1" s="8" t="s">
        <v>49</v>
      </c>
      <c r="B1" s="8"/>
      <c r="C1" s="8"/>
      <c r="D1" s="8"/>
      <c r="E1" s="8"/>
      <c r="F1" s="8"/>
      <c r="G1" s="8"/>
      <c r="H1" s="8"/>
      <c r="I1" s="8"/>
      <c r="J1" s="8"/>
      <c r="K1" s="8"/>
      <c r="L1" s="8"/>
      <c r="M1" s="8"/>
      <c r="N1" s="8"/>
      <c r="O1" s="8"/>
      <c r="P1" s="8"/>
    </row>
    <row r="2" spans="1:16" x14ac:dyDescent="0.3">
      <c r="A2" s="8"/>
      <c r="B2" s="8"/>
      <c r="C2" s="8"/>
      <c r="D2" s="8"/>
      <c r="E2" s="8"/>
      <c r="F2" s="8"/>
      <c r="G2" s="8"/>
      <c r="H2" s="8"/>
      <c r="I2" s="8"/>
      <c r="J2" s="8"/>
      <c r="K2" s="8"/>
      <c r="L2" s="8"/>
      <c r="M2" s="8"/>
      <c r="N2" s="8"/>
      <c r="O2" s="8"/>
      <c r="P2" s="8"/>
    </row>
    <row r="3" spans="1:16" x14ac:dyDescent="0.3">
      <c r="A3" s="8"/>
      <c r="B3" s="8"/>
      <c r="C3" s="8"/>
      <c r="D3" s="8"/>
      <c r="E3" s="8"/>
      <c r="F3" s="8"/>
      <c r="G3" s="8"/>
      <c r="H3" s="8"/>
      <c r="I3" s="8"/>
      <c r="J3" s="8"/>
      <c r="K3" s="8"/>
      <c r="L3" s="8"/>
      <c r="M3" s="8"/>
      <c r="N3" s="8"/>
      <c r="O3" s="8"/>
      <c r="P3" s="8"/>
    </row>
    <row r="4" spans="1:16" x14ac:dyDescent="0.3">
      <c r="A4" s="8"/>
      <c r="B4" s="8"/>
      <c r="C4" s="8"/>
      <c r="D4" s="8"/>
      <c r="E4" s="8"/>
      <c r="F4" s="8"/>
      <c r="G4" s="8"/>
      <c r="H4" s="8"/>
      <c r="I4" s="8"/>
      <c r="J4" s="8"/>
      <c r="K4" s="8"/>
      <c r="L4" s="8"/>
      <c r="M4" s="8"/>
      <c r="N4" s="8"/>
      <c r="O4" s="8"/>
      <c r="P4" s="8"/>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Haridasyam</dc:creator>
  <cp:lastModifiedBy>Pooja Haridasyam</cp:lastModifiedBy>
  <dcterms:created xsi:type="dcterms:W3CDTF">2022-03-18T02:50:57Z</dcterms:created>
  <dcterms:modified xsi:type="dcterms:W3CDTF">2026-01-28T09:52:50Z</dcterms:modified>
</cp:coreProperties>
</file>